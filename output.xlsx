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scriptive Statistics" sheetId="2" r:id="rId2"/>
    <sheet name="GEV SWH" sheetId="3" r:id="rId3"/>
    <sheet name="GEV Wind" sheetId="4" r:id="rId4"/>
    <sheet name="SWH Sector GEV" sheetId="5" r:id="rId5"/>
    <sheet name="Wind Sector GEV" sheetId="6" r:id="rId6"/>
    <sheet name="Joint SWH MWD" sheetId="7" r:id="rId7"/>
    <sheet name="Joint SWH MWP" sheetId="8" r:id="rId8"/>
    <sheet name="Joint Wind DWI" sheetId="9" r:id="rId9"/>
  </sheets>
  <calcPr calcId="124519" fullCalcOnLoad="1"/>
</workbook>
</file>

<file path=xl/sharedStrings.xml><?xml version="1.0" encoding="utf-8"?>
<sst xmlns="http://schemas.openxmlformats.org/spreadsheetml/2006/main" count="254" uniqueCount="109">
  <si>
    <t>Run summary</t>
  </si>
  <si>
    <t>Generated by stats_era5_data.py</t>
  </si>
  <si>
    <t>Input file</t>
  </si>
  <si>
    <t>Rows analysed</t>
  </si>
  <si>
    <t>Start datetime</t>
  </si>
  <si>
    <t>End datetime</t>
  </si>
  <si>
    <t>Output PDF</t>
  </si>
  <si>
    <t>Output workbook</t>
  </si>
  <si>
    <t>Variables</t>
  </si>
  <si>
    <t>input.csv</t>
  </si>
  <si>
    <t>1940-01-01 00:00:00</t>
  </si>
  <si>
    <t>2026-05-08 23:00:00</t>
  </si>
  <si>
    <t>output.pdf</t>
  </si>
  <si>
    <t>output.xlsx</t>
  </si>
  <si>
    <t>swh, mwp, mwd, wind, dwi, u10, v10</t>
  </si>
  <si>
    <t>item</t>
  </si>
  <si>
    <t>value</t>
  </si>
  <si>
    <t>Descriptive statistics</t>
  </si>
  <si>
    <t>swh</t>
  </si>
  <si>
    <t>mwp</t>
  </si>
  <si>
    <t>mwd</t>
  </si>
  <si>
    <t>wind</t>
  </si>
  <si>
    <t>dwi</t>
  </si>
  <si>
    <t>u10</t>
  </si>
  <si>
    <t>v10</t>
  </si>
  <si>
    <t>variable</t>
  </si>
  <si>
    <t>count</t>
  </si>
  <si>
    <t>mean</t>
  </si>
  <si>
    <t>std</t>
  </si>
  <si>
    <t>min</t>
  </si>
  <si>
    <t>1%</t>
  </si>
  <si>
    <t>5%</t>
  </si>
  <si>
    <t>25%</t>
  </si>
  <si>
    <t>50%</t>
  </si>
  <si>
    <t>75%</t>
  </si>
  <si>
    <t>95%</t>
  </si>
  <si>
    <t>99%</t>
  </si>
  <si>
    <t>max</t>
  </si>
  <si>
    <t>skewness</t>
  </si>
  <si>
    <t>kurtosis</t>
  </si>
  <si>
    <t>GEV: swh, all directions</t>
  </si>
  <si>
    <t>Fit parameters</t>
  </si>
  <si>
    <t>Return levels</t>
  </si>
  <si>
    <t>shape</t>
  </si>
  <si>
    <t>loc</t>
  </si>
  <si>
    <t>scale</t>
  </si>
  <si>
    <t>annual maxima used</t>
  </si>
  <si>
    <t>RP_2</t>
  </si>
  <si>
    <t>RP_5</t>
  </si>
  <si>
    <t>RP_10</t>
  </si>
  <si>
    <t>RP_25</t>
  </si>
  <si>
    <t>RP_50</t>
  </si>
  <si>
    <t>RP_100</t>
  </si>
  <si>
    <t>RP_250</t>
  </si>
  <si>
    <t>RP_1000</t>
  </si>
  <si>
    <t>-</t>
  </si>
  <si>
    <t>years</t>
  </si>
  <si>
    <t>section</t>
  </si>
  <si>
    <t>metric</t>
  </si>
  <si>
    <t>unit</t>
  </si>
  <si>
    <t>GEV: wind, all directions</t>
  </si>
  <si>
    <t>GEV: swh by 30-degree mwd sector</t>
  </si>
  <si>
    <t>000-030</t>
  </si>
  <si>
    <t>030-060</t>
  </si>
  <si>
    <t>060-090</t>
  </si>
  <si>
    <t>090-120</t>
  </si>
  <si>
    <t>120-150</t>
  </si>
  <si>
    <t>150-180</t>
  </si>
  <si>
    <t>180-210</t>
  </si>
  <si>
    <t>210-240</t>
  </si>
  <si>
    <t>240-270</t>
  </si>
  <si>
    <t>270-300</t>
  </si>
  <si>
    <t>300-330</t>
  </si>
  <si>
    <t>330-360</t>
  </si>
  <si>
    <t>sector</t>
  </si>
  <si>
    <t>n_annual_maxima</t>
  </si>
  <si>
    <t>GEV: wind by 30-degree dwi sector</t>
  </si>
  <si>
    <t>Joint distribution: swh vs mwd (%)</t>
  </si>
  <si>
    <t>0-1.5</t>
  </si>
  <si>
    <t>1.5-3</t>
  </si>
  <si>
    <t>3-4.5</t>
  </si>
  <si>
    <t>4.5-6</t>
  </si>
  <si>
    <t>6-7.5</t>
  </si>
  <si>
    <t>7.5-9</t>
  </si>
  <si>
    <t>9-10.5</t>
  </si>
  <si>
    <t>10.5-12</t>
  </si>
  <si>
    <t>Total</t>
  </si>
  <si>
    <t>swh interval</t>
  </si>
  <si>
    <t>0-30</t>
  </si>
  <si>
    <t>30-60</t>
  </si>
  <si>
    <t>60-90</t>
  </si>
  <si>
    <t>90-120</t>
  </si>
  <si>
    <t>Joint distribution: swh vs mwp (%)</t>
  </si>
  <si>
    <t>12-13.5</t>
  </si>
  <si>
    <t>13.5-15</t>
  </si>
  <si>
    <t>15-16.5</t>
  </si>
  <si>
    <t>16.5-18</t>
  </si>
  <si>
    <t>Joint distribution: wind vs dwi (%)</t>
  </si>
  <si>
    <t>0-3</t>
  </si>
  <si>
    <t>3-6</t>
  </si>
  <si>
    <t>6-9</t>
  </si>
  <si>
    <t>9-12</t>
  </si>
  <si>
    <t>12-15</t>
  </si>
  <si>
    <t>15-18</t>
  </si>
  <si>
    <t>18-21</t>
  </si>
  <si>
    <t>21-24</t>
  </si>
  <si>
    <t>24-27</t>
  </si>
  <si>
    <t>27-30</t>
  </si>
  <si>
    <t>wind interval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</si>
</sst>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EAD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rgb="FF7F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10" totalsRowShown="0">
  <autoFilter ref="A3:B10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O10" totalsRowShown="0">
  <autoFilter ref="A3:O10"/>
  <tableColumns count="15">
    <tableColumn id="1" name="variable"/>
    <tableColumn id="2" name="count"/>
    <tableColumn id="3" name="mean"/>
    <tableColumn id="4" name="std"/>
    <tableColumn id="5" name="min"/>
    <tableColumn id="6" name="1%"/>
    <tableColumn id="7" name="5%"/>
    <tableColumn id="8" name="25%"/>
    <tableColumn id="9" name="50%"/>
    <tableColumn id="10" name="75%"/>
    <tableColumn id="11" name="95%"/>
    <tableColumn id="12" name="99%"/>
    <tableColumn id="13" name="max"/>
    <tableColumn id="14" name="skewness"/>
    <tableColumn id="15" name="kurto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D15" totalsRowShown="0">
  <autoFilter ref="A3:D15"/>
  <tableColumns count="4">
    <tableColumn id="1" name="section"/>
    <tableColumn id="2" name="metric"/>
    <tableColumn id="3" name="value"/>
    <tableColumn id="4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D15" totalsRowShown="0">
  <autoFilter ref="A3:D15"/>
  <tableColumns count="4">
    <tableColumn id="1" name="section"/>
    <tableColumn id="2" name="metric"/>
    <tableColumn id="3" name="value"/>
    <tableColumn id="4" name="un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M15" totalsRowShown="0">
  <autoFilter ref="A3:M15"/>
  <tableColumns count="13">
    <tableColumn id="1" name="sector"/>
    <tableColumn id="2" name="n_annual_maxima"/>
    <tableColumn id="3" name="shape"/>
    <tableColumn id="4" name="loc"/>
    <tableColumn id="5" name="scale"/>
    <tableColumn id="6" name="RP_2"/>
    <tableColumn id="7" name="RP_5"/>
    <tableColumn id="8" name="RP_10"/>
    <tableColumn id="9" name="RP_25"/>
    <tableColumn id="10" name="RP_50"/>
    <tableColumn id="11" name="RP_100"/>
    <tableColumn id="12" name="RP_250"/>
    <tableColumn id="13" name="RP_10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M15" totalsRowShown="0">
  <autoFilter ref="A3:M15"/>
  <tableColumns count="13">
    <tableColumn id="1" name="sector"/>
    <tableColumn id="2" name="n_annual_maxima"/>
    <tableColumn id="3" name="shape"/>
    <tableColumn id="4" name="loc"/>
    <tableColumn id="5" name="scale"/>
    <tableColumn id="6" name="RP_2"/>
    <tableColumn id="7" name="RP_5"/>
    <tableColumn id="8" name="RP_10"/>
    <tableColumn id="9" name="RP_25"/>
    <tableColumn id="10" name="RP_50"/>
    <tableColumn id="11" name="RP_100"/>
    <tableColumn id="12" name="RP_250"/>
    <tableColumn id="13" name="RP_100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N12" totalsRowShown="0">
  <autoFilter ref="A3:N12"/>
  <tableColumns count="14">
    <tableColumn id="1" name="swh interval"/>
    <tableColumn id="2" name="0-30"/>
    <tableColumn id="3" name="30-60"/>
    <tableColumn id="4" name="60-90"/>
    <tableColumn id="5" name="90-120"/>
    <tableColumn id="6" name="120-150"/>
    <tableColumn id="7" name="150-180"/>
    <tableColumn id="8" name="180-210"/>
    <tableColumn id="9" name="210-240"/>
    <tableColumn id="10" name="240-270"/>
    <tableColumn id="11" name="270-300"/>
    <tableColumn id="12" name="300-330"/>
    <tableColumn id="13" name="330-360"/>
    <tableColumn id="14" name="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L12" totalsRowShown="0">
  <autoFilter ref="A3:L12"/>
  <tableColumns count="12">
    <tableColumn id="1" name="swh interval"/>
    <tableColumn id="2" name="3-4.5"/>
    <tableColumn id="3" name="4.5-6"/>
    <tableColumn id="4" name="6-7.5"/>
    <tableColumn id="5" name="7.5-9"/>
    <tableColumn id="6" name="9-10.5"/>
    <tableColumn id="7" name="10.5-12"/>
    <tableColumn id="8" name="12-13.5"/>
    <tableColumn id="9" name="13.5-15"/>
    <tableColumn id="10" name="15-16.5"/>
    <tableColumn id="11" name="16.5-18"/>
    <tableColumn id="12" name="To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N14" totalsRowShown="0">
  <autoFilter ref="A3:N14"/>
  <tableColumns count="14">
    <tableColumn id="1" name="wind interval"/>
    <tableColumn id="2" name="0-30"/>
    <tableColumn id="3" name="30-60"/>
    <tableColumn id="4" name="60-90"/>
    <tableColumn id="5" name="90-120"/>
    <tableColumn id="6" name="120-150"/>
    <tableColumn id="7" name="150-180"/>
    <tableColumn id="8" name="180-210"/>
    <tableColumn id="9" name="210-240"/>
    <tableColumn id="10" name="240-270"/>
    <tableColumn id="11" name="270-300"/>
    <tableColumn id="12" name="300-330"/>
    <tableColumn id="13" name="330-360"/>
    <tableColumn id="14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7.7109375" customWidth="1"/>
    <col min="2" max="2" width="26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t="s">
        <v>15</v>
      </c>
      <c r="B3" t="s">
        <v>16</v>
      </c>
    </row>
    <row r="4" spans="1:2">
      <c r="A4" t="s">
        <v>2</v>
      </c>
      <c r="B4" t="s">
        <v>9</v>
      </c>
    </row>
    <row r="5" spans="1:2">
      <c r="A5" t="s">
        <v>3</v>
      </c>
      <c r="B5">
        <v>756960</v>
      </c>
    </row>
    <row r="6" spans="1:2">
      <c r="A6" t="s">
        <v>4</v>
      </c>
      <c r="B6" t="s">
        <v>10</v>
      </c>
    </row>
    <row r="7" spans="1:2">
      <c r="A7" t="s">
        <v>5</v>
      </c>
      <c r="B7" t="s">
        <v>11</v>
      </c>
    </row>
    <row r="8" spans="1:2">
      <c r="A8" t="s">
        <v>6</v>
      </c>
      <c r="B8" t="s">
        <v>12</v>
      </c>
    </row>
    <row r="9" spans="1:2">
      <c r="A9" t="s">
        <v>7</v>
      </c>
      <c r="B9" t="s">
        <v>13</v>
      </c>
    </row>
    <row r="10" spans="1:2">
      <c r="A10" t="s">
        <v>8</v>
      </c>
      <c r="B10" t="s">
        <v>14</v>
      </c>
    </row>
  </sheetData>
  <pageMargins left="0.3" right="0.3" top="0.5" bottom="0.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2" width="10.7109375" style="3" customWidth="1"/>
    <col min="3" max="4" width="20.7109375" style="3" customWidth="1"/>
    <col min="5" max="13" width="10.7109375" style="3" customWidth="1"/>
    <col min="14" max="15" width="22.7109375" style="3" customWidth="1"/>
  </cols>
  <sheetData>
    <row r="1" spans="1:15">
      <c r="A1" s="1" t="s">
        <v>17</v>
      </c>
    </row>
    <row r="2" spans="1:15">
      <c r="A2" s="2" t="s">
        <v>1</v>
      </c>
    </row>
    <row r="3" spans="1:15">
      <c r="A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</row>
    <row r="4" spans="1:15">
      <c r="A4" t="s">
        <v>18</v>
      </c>
      <c r="B4" s="3">
        <v>756960</v>
      </c>
      <c r="C4" s="3">
        <v>2.212741254491652</v>
      </c>
      <c r="D4" s="3">
        <v>1.058460878158659</v>
      </c>
      <c r="E4" s="3">
        <v>0.39</v>
      </c>
      <c r="F4" s="3">
        <v>0.71</v>
      </c>
      <c r="G4" s="3">
        <v>0.93</v>
      </c>
      <c r="H4" s="3">
        <v>1.45</v>
      </c>
      <c r="I4" s="3">
        <v>1.99</v>
      </c>
      <c r="J4" s="3">
        <v>2.74</v>
      </c>
      <c r="K4" s="3">
        <v>4.26</v>
      </c>
      <c r="L4" s="3">
        <v>5.65</v>
      </c>
      <c r="M4" s="3">
        <v>11.08</v>
      </c>
      <c r="N4" s="3">
        <v>1.328214528821232</v>
      </c>
      <c r="O4" s="3">
        <v>2.644384830184666</v>
      </c>
    </row>
    <row r="5" spans="1:15">
      <c r="A5" t="s">
        <v>19</v>
      </c>
      <c r="B5" s="3">
        <v>756960</v>
      </c>
      <c r="C5" s="3">
        <v>8.733123150496723</v>
      </c>
      <c r="D5" s="3">
        <v>2.033985362883098</v>
      </c>
      <c r="E5" s="3">
        <v>4</v>
      </c>
      <c r="F5" s="3">
        <v>5.2</v>
      </c>
      <c r="G5" s="3">
        <v>5.8</v>
      </c>
      <c r="H5" s="3">
        <v>7.1</v>
      </c>
      <c r="I5" s="3">
        <v>8.5</v>
      </c>
      <c r="J5" s="3">
        <v>10.1</v>
      </c>
      <c r="K5" s="3">
        <v>12.4</v>
      </c>
      <c r="L5" s="3">
        <v>13.8</v>
      </c>
      <c r="M5" s="3">
        <v>17.4</v>
      </c>
      <c r="N5" s="3">
        <v>0.4529156142178719</v>
      </c>
      <c r="O5" s="3">
        <v>-0.3563316340928528</v>
      </c>
    </row>
    <row r="6" spans="1:15">
      <c r="A6" t="s">
        <v>20</v>
      </c>
      <c r="B6" s="3">
        <v>756960</v>
      </c>
      <c r="C6" s="3">
        <v>302.4485256816741</v>
      </c>
      <c r="D6" s="3">
        <v>47.81445279659368</v>
      </c>
      <c r="E6" s="3">
        <v>0</v>
      </c>
      <c r="F6" s="3">
        <v>10</v>
      </c>
      <c r="G6" s="3">
        <v>237</v>
      </c>
      <c r="H6" s="3">
        <v>289</v>
      </c>
      <c r="I6" s="3">
        <v>310</v>
      </c>
      <c r="J6" s="3">
        <v>330</v>
      </c>
      <c r="K6" s="3">
        <v>349</v>
      </c>
      <c r="L6" s="3">
        <v>356</v>
      </c>
      <c r="M6" s="3">
        <v>359</v>
      </c>
      <c r="N6" s="3">
        <v>-3.571665320325664</v>
      </c>
      <c r="O6" s="3">
        <v>18.43658169752079</v>
      </c>
    </row>
    <row r="7" spans="1:15">
      <c r="A7" t="s">
        <v>21</v>
      </c>
      <c r="B7" s="3">
        <v>756960</v>
      </c>
      <c r="C7" s="3">
        <v>6.926145582329319</v>
      </c>
      <c r="D7" s="3">
        <v>3.367597802077951</v>
      </c>
      <c r="E7" s="3">
        <v>0.01</v>
      </c>
      <c r="F7" s="3">
        <v>0.83</v>
      </c>
      <c r="G7" s="3">
        <v>1.86</v>
      </c>
      <c r="H7" s="3">
        <v>4.29</v>
      </c>
      <c r="I7" s="3">
        <v>6.69</v>
      </c>
      <c r="J7" s="3">
        <v>9.35</v>
      </c>
      <c r="K7" s="3">
        <v>12.69</v>
      </c>
      <c r="L7" s="3">
        <v>14.92</v>
      </c>
      <c r="M7" s="3">
        <v>28.95</v>
      </c>
      <c r="N7" s="3">
        <v>0.3251691690508751</v>
      </c>
      <c r="O7" s="3">
        <v>-0.4408414744973475</v>
      </c>
    </row>
    <row r="8" spans="1:15">
      <c r="A8" t="s">
        <v>22</v>
      </c>
      <c r="B8" s="3">
        <v>756960</v>
      </c>
      <c r="C8" s="3">
        <v>204.3214780173325</v>
      </c>
      <c r="D8" s="3">
        <v>127.2857529158653</v>
      </c>
      <c r="E8" s="3">
        <v>0</v>
      </c>
      <c r="F8" s="3">
        <v>0</v>
      </c>
      <c r="G8" s="3">
        <v>4</v>
      </c>
      <c r="H8" s="3">
        <v>77</v>
      </c>
      <c r="I8" s="3">
        <v>225</v>
      </c>
      <c r="J8" s="3">
        <v>331</v>
      </c>
      <c r="K8" s="3">
        <v>355</v>
      </c>
      <c r="L8" s="3">
        <v>359</v>
      </c>
      <c r="M8" s="3">
        <v>359</v>
      </c>
      <c r="N8" s="3">
        <v>-0.363723534296242</v>
      </c>
      <c r="O8" s="3">
        <v>-1.344677571377511</v>
      </c>
    </row>
    <row r="9" spans="1:15">
      <c r="A9" t="s">
        <v>23</v>
      </c>
      <c r="B9" s="3">
        <v>756960</v>
      </c>
      <c r="C9" s="3">
        <v>1.071142173958994</v>
      </c>
      <c r="D9" s="3">
        <v>3.770412775865773</v>
      </c>
      <c r="E9" s="3">
        <v>-19.11</v>
      </c>
      <c r="F9" s="3">
        <v>-7.85</v>
      </c>
      <c r="G9" s="3">
        <v>-4.84</v>
      </c>
      <c r="H9" s="3">
        <v>-1.15</v>
      </c>
      <c r="I9" s="3">
        <v>0.92</v>
      </c>
      <c r="J9" s="3">
        <v>2.93</v>
      </c>
      <c r="K9" s="3">
        <v>7.99</v>
      </c>
      <c r="L9" s="3">
        <v>11.66</v>
      </c>
      <c r="M9" s="3">
        <v>24.34</v>
      </c>
      <c r="N9" s="3">
        <v>0.3834337100770677</v>
      </c>
      <c r="O9" s="3">
        <v>1.088465196064319</v>
      </c>
    </row>
    <row r="10" spans="1:15">
      <c r="A10" t="s">
        <v>24</v>
      </c>
      <c r="B10" s="3">
        <v>756960</v>
      </c>
      <c r="C10" s="3">
        <v>-2.429072223102937</v>
      </c>
      <c r="D10" s="3">
        <v>6.168342712434412</v>
      </c>
      <c r="E10" s="3">
        <v>-23.71</v>
      </c>
      <c r="F10" s="3">
        <v>-13.38</v>
      </c>
      <c r="G10" s="3">
        <v>-11.43</v>
      </c>
      <c r="H10" s="3">
        <v>-7.19</v>
      </c>
      <c r="I10" s="3">
        <v>-3.06</v>
      </c>
      <c r="J10" s="3">
        <v>1.74</v>
      </c>
      <c r="K10" s="3">
        <v>8.77</v>
      </c>
      <c r="L10" s="3">
        <v>12.49</v>
      </c>
      <c r="M10" s="3">
        <v>27.95</v>
      </c>
      <c r="N10" s="3">
        <v>0.4071369315727448</v>
      </c>
      <c r="O10" s="3">
        <v>-0.4192008578137725</v>
      </c>
    </row>
  </sheetData>
  <conditionalFormatting sqref="B4:B10">
    <cfRule type="top10" dxfId="0" priority="1" rank="1"/>
  </conditionalFormatting>
  <conditionalFormatting sqref="C4:C10">
    <cfRule type="top10" dxfId="0" priority="2" rank="1"/>
  </conditionalFormatting>
  <conditionalFormatting sqref="D4:D10">
    <cfRule type="top10" dxfId="0" priority="3" rank="1"/>
  </conditionalFormatting>
  <conditionalFormatting sqref="E4:E10">
    <cfRule type="top10" dxfId="0" priority="4" rank="1"/>
  </conditionalFormatting>
  <conditionalFormatting sqref="F4:F10">
    <cfRule type="top10" dxfId="0" priority="5" rank="1"/>
  </conditionalFormatting>
  <conditionalFormatting sqref="G4:G10">
    <cfRule type="top10" dxfId="0" priority="6" rank="1"/>
  </conditionalFormatting>
  <conditionalFormatting sqref="H4:H10">
    <cfRule type="top10" dxfId="0" priority="7" rank="1"/>
  </conditionalFormatting>
  <conditionalFormatting sqref="I4:I10">
    <cfRule type="top10" dxfId="0" priority="8" rank="1"/>
  </conditionalFormatting>
  <conditionalFormatting sqref="J4:J10">
    <cfRule type="top10" dxfId="0" priority="9" rank="1"/>
  </conditionalFormatting>
  <conditionalFormatting sqref="K4:K10">
    <cfRule type="top10" dxfId="0" priority="10" rank="1"/>
  </conditionalFormatting>
  <conditionalFormatting sqref="L4:L10">
    <cfRule type="top10" dxfId="0" priority="11" rank="1"/>
  </conditionalFormatting>
  <conditionalFormatting sqref="M4:M10">
    <cfRule type="top10" dxfId="0" priority="12" rank="1"/>
  </conditionalFormatting>
  <conditionalFormatting sqref="N4:N10">
    <cfRule type="top10" dxfId="0" priority="13" rank="1"/>
  </conditionalFormatting>
  <conditionalFormatting sqref="O4:O10">
    <cfRule type="top10" dxfId="0" priority="14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6.7109375" customWidth="1"/>
    <col min="2" max="2" width="20.7109375" customWidth="1"/>
    <col min="3" max="3" width="21.7109375" style="3" customWidth="1"/>
    <col min="4" max="4" width="10.7109375" customWidth="1"/>
  </cols>
  <sheetData>
    <row r="1" spans="1:4">
      <c r="A1" s="1" t="s">
        <v>40</v>
      </c>
    </row>
    <row r="2" spans="1:4">
      <c r="A2" s="2" t="s">
        <v>1</v>
      </c>
    </row>
    <row r="3" spans="1:4">
      <c r="A3" t="s">
        <v>57</v>
      </c>
      <c r="B3" t="s">
        <v>58</v>
      </c>
      <c r="C3" s="3" t="s">
        <v>16</v>
      </c>
      <c r="D3" t="s">
        <v>59</v>
      </c>
    </row>
    <row r="4" spans="1:4">
      <c r="A4" t="s">
        <v>41</v>
      </c>
      <c r="B4" t="s">
        <v>43</v>
      </c>
      <c r="C4" s="3">
        <v>0.1111066926010062</v>
      </c>
      <c r="D4" t="s">
        <v>55</v>
      </c>
    </row>
    <row r="5" spans="1:4">
      <c r="A5" t="s">
        <v>41</v>
      </c>
      <c r="B5" t="s">
        <v>44</v>
      </c>
      <c r="C5" s="3">
        <v>7.131956663570319</v>
      </c>
      <c r="D5" t="s">
        <v>18</v>
      </c>
    </row>
    <row r="6" spans="1:4">
      <c r="A6" t="s">
        <v>41</v>
      </c>
      <c r="B6" t="s">
        <v>45</v>
      </c>
      <c r="C6" s="3">
        <v>1.010643010141416</v>
      </c>
      <c r="D6" t="s">
        <v>18</v>
      </c>
    </row>
    <row r="7" spans="1:4">
      <c r="A7" t="s">
        <v>41</v>
      </c>
      <c r="B7" t="s">
        <v>46</v>
      </c>
      <c r="C7" s="3">
        <v>87</v>
      </c>
      <c r="D7" t="s">
        <v>56</v>
      </c>
    </row>
    <row r="8" spans="1:4">
      <c r="A8" t="s">
        <v>42</v>
      </c>
      <c r="B8" t="s">
        <v>47</v>
      </c>
      <c r="C8" s="3">
        <v>7.494929725406712</v>
      </c>
      <c r="D8" t="s">
        <v>18</v>
      </c>
    </row>
    <row r="9" spans="1:4">
      <c r="A9" t="s">
        <v>42</v>
      </c>
      <c r="B9" t="s">
        <v>48</v>
      </c>
      <c r="C9" s="3">
        <v>8.528279366230823</v>
      </c>
      <c r="D9" t="s">
        <v>18</v>
      </c>
    </row>
    <row r="10" spans="1:4">
      <c r="A10" t="s">
        <v>42</v>
      </c>
      <c r="B10" t="s">
        <v>49</v>
      </c>
      <c r="C10" s="3">
        <v>9.144236346929961</v>
      </c>
      <c r="D10" t="s">
        <v>18</v>
      </c>
    </row>
    <row r="11" spans="1:4">
      <c r="A11" t="s">
        <v>42</v>
      </c>
      <c r="B11" t="s">
        <v>50</v>
      </c>
      <c r="C11" s="3">
        <v>9.852541503020387</v>
      </c>
      <c r="D11" t="s">
        <v>18</v>
      </c>
    </row>
    <row r="12" spans="1:4">
      <c r="A12" t="s">
        <v>42</v>
      </c>
      <c r="B12" t="s">
        <v>51</v>
      </c>
      <c r="C12" s="3">
        <v>10.33183742290132</v>
      </c>
      <c r="D12" t="s">
        <v>18</v>
      </c>
    </row>
    <row r="13" spans="1:4">
      <c r="A13" t="s">
        <v>42</v>
      </c>
      <c r="B13" t="s">
        <v>52</v>
      </c>
      <c r="C13" s="3">
        <v>10.7719536345096</v>
      </c>
      <c r="D13" t="s">
        <v>18</v>
      </c>
    </row>
    <row r="14" spans="1:4">
      <c r="A14" t="s">
        <v>42</v>
      </c>
      <c r="B14" t="s">
        <v>53</v>
      </c>
      <c r="C14" s="3">
        <v>11.30173532053808</v>
      </c>
      <c r="D14" t="s">
        <v>18</v>
      </c>
    </row>
    <row r="15" spans="1:4">
      <c r="A15" t="s">
        <v>42</v>
      </c>
      <c r="B15" t="s">
        <v>54</v>
      </c>
      <c r="C15" s="3">
        <v>12.00568367272233</v>
      </c>
      <c r="D15" t="s">
        <v>18</v>
      </c>
    </row>
  </sheetData>
  <conditionalFormatting sqref="C4:C15">
    <cfRule type="top10" dxfId="0" priority="1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6.7109375" customWidth="1"/>
    <col min="2" max="2" width="20.7109375" customWidth="1"/>
    <col min="3" max="3" width="24.7109375" style="3" customWidth="1"/>
    <col min="4" max="4" width="10.7109375" customWidth="1"/>
  </cols>
  <sheetData>
    <row r="1" spans="1:4">
      <c r="A1" s="1" t="s">
        <v>60</v>
      </c>
    </row>
    <row r="2" spans="1:4">
      <c r="A2" s="2" t="s">
        <v>1</v>
      </c>
    </row>
    <row r="3" spans="1:4">
      <c r="A3" t="s">
        <v>57</v>
      </c>
      <c r="B3" t="s">
        <v>58</v>
      </c>
      <c r="C3" s="3" t="s">
        <v>16</v>
      </c>
      <c r="D3" t="s">
        <v>59</v>
      </c>
    </row>
    <row r="4" spans="1:4">
      <c r="A4" t="s">
        <v>41</v>
      </c>
      <c r="B4" t="s">
        <v>43</v>
      </c>
      <c r="C4" s="3">
        <v>-0.0009255462202806316</v>
      </c>
      <c r="D4" t="s">
        <v>55</v>
      </c>
    </row>
    <row r="5" spans="1:4">
      <c r="A5" t="s">
        <v>41</v>
      </c>
      <c r="B5" t="s">
        <v>44</v>
      </c>
      <c r="C5" s="3">
        <v>18.47261556171767</v>
      </c>
      <c r="D5" t="s">
        <v>21</v>
      </c>
    </row>
    <row r="6" spans="1:4">
      <c r="A6" t="s">
        <v>41</v>
      </c>
      <c r="B6" t="s">
        <v>45</v>
      </c>
      <c r="C6" s="3">
        <v>1.572031600363893</v>
      </c>
      <c r="D6" t="s">
        <v>21</v>
      </c>
    </row>
    <row r="7" spans="1:4">
      <c r="A7" t="s">
        <v>41</v>
      </c>
      <c r="B7" t="s">
        <v>46</v>
      </c>
      <c r="C7" s="3">
        <v>87</v>
      </c>
      <c r="D7" t="s">
        <v>56</v>
      </c>
    </row>
    <row r="8" spans="1:4">
      <c r="A8" t="s">
        <v>42</v>
      </c>
      <c r="B8" t="s">
        <v>47</v>
      </c>
      <c r="C8" s="3">
        <v>19.04888319137963</v>
      </c>
      <c r="D8" t="s">
        <v>21</v>
      </c>
    </row>
    <row r="9" spans="1:4">
      <c r="A9" t="s">
        <v>42</v>
      </c>
      <c r="B9" t="s">
        <v>48</v>
      </c>
      <c r="C9" s="3">
        <v>20.83220610763942</v>
      </c>
      <c r="D9" t="s">
        <v>21</v>
      </c>
    </row>
    <row r="10" spans="1:4">
      <c r="A10" t="s">
        <v>42</v>
      </c>
      <c r="B10" t="s">
        <v>49</v>
      </c>
      <c r="C10" s="3">
        <v>22.01395081257382</v>
      </c>
      <c r="D10" t="s">
        <v>21</v>
      </c>
    </row>
    <row r="11" spans="1:4">
      <c r="A11" t="s">
        <v>42</v>
      </c>
      <c r="B11" t="s">
        <v>50</v>
      </c>
      <c r="C11" s="3">
        <v>23.50826256066408</v>
      </c>
      <c r="D11" t="s">
        <v>21</v>
      </c>
    </row>
    <row r="12" spans="1:4">
      <c r="A12" t="s">
        <v>42</v>
      </c>
      <c r="B12" t="s">
        <v>51</v>
      </c>
      <c r="C12" s="3">
        <v>24.61767596690689</v>
      </c>
      <c r="D12" t="s">
        <v>21</v>
      </c>
    </row>
    <row r="13" spans="1:4">
      <c r="A13" t="s">
        <v>42</v>
      </c>
      <c r="B13" t="s">
        <v>52</v>
      </c>
      <c r="C13" s="3">
        <v>25.71961215522163</v>
      </c>
      <c r="D13" t="s">
        <v>21</v>
      </c>
    </row>
    <row r="14" spans="1:4">
      <c r="A14" t="s">
        <v>42</v>
      </c>
      <c r="B14" t="s">
        <v>53</v>
      </c>
      <c r="C14" s="3">
        <v>27.17157775200592</v>
      </c>
      <c r="D14" t="s">
        <v>21</v>
      </c>
    </row>
    <row r="15" spans="1:4">
      <c r="A15" t="s">
        <v>42</v>
      </c>
      <c r="B15" t="s">
        <v>54</v>
      </c>
      <c r="C15" s="3">
        <v>29.36582174918414</v>
      </c>
      <c r="D15" t="s">
        <v>21</v>
      </c>
    </row>
  </sheetData>
  <conditionalFormatting sqref="C4:C15">
    <cfRule type="top10" dxfId="0" priority="1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2" width="17.7109375" style="4" customWidth="1"/>
    <col min="3" max="3" width="23.7109375" style="3" customWidth="1"/>
    <col min="4" max="4" width="20.7109375" style="3" customWidth="1"/>
    <col min="5" max="5" width="21.7109375" style="3" customWidth="1"/>
    <col min="6" max="13" width="20.7109375" style="3" customWidth="1"/>
  </cols>
  <sheetData>
    <row r="1" spans="1:13">
      <c r="A1" s="1" t="s">
        <v>61</v>
      </c>
    </row>
    <row r="2" spans="1:13">
      <c r="A2" s="2" t="s">
        <v>1</v>
      </c>
    </row>
    <row r="3" spans="1:13">
      <c r="A3" t="s">
        <v>74</v>
      </c>
      <c r="B3" s="4" t="s">
        <v>75</v>
      </c>
      <c r="C3" s="3" t="s">
        <v>43</v>
      </c>
      <c r="D3" s="3" t="s">
        <v>44</v>
      </c>
      <c r="E3" s="3" t="s">
        <v>45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</row>
    <row r="4" spans="1:13">
      <c r="A4" t="s">
        <v>62</v>
      </c>
      <c r="B4" s="4">
        <v>87</v>
      </c>
      <c r="C4" s="3">
        <v>0.318959790558752</v>
      </c>
      <c r="D4" s="3">
        <v>3.138253735145937</v>
      </c>
      <c r="E4" s="3">
        <v>0.7100930791188086</v>
      </c>
      <c r="F4" s="3">
        <v>3.383875417598562</v>
      </c>
      <c r="G4" s="3">
        <v>3.984770229028216</v>
      </c>
      <c r="H4" s="3">
        <v>4.278473799598348</v>
      </c>
      <c r="I4" s="3">
        <v>4.561910586911351</v>
      </c>
      <c r="J4" s="3">
        <v>4.723213902914063</v>
      </c>
      <c r="K4" s="3">
        <v>4.851250362450955</v>
      </c>
      <c r="L4" s="3">
        <v>4.981697549867182</v>
      </c>
      <c r="M4" s="3">
        <v>5.118625390498575</v>
      </c>
    </row>
    <row r="5" spans="1:13">
      <c r="A5" t="s">
        <v>63</v>
      </c>
      <c r="B5" s="4">
        <v>64</v>
      </c>
      <c r="C5" s="3">
        <v>-0.0365106573484066</v>
      </c>
      <c r="D5" s="3">
        <v>1.774327201848812</v>
      </c>
      <c r="E5" s="3">
        <v>0.3594900281038925</v>
      </c>
      <c r="F5" s="3">
        <v>1.906970453934013</v>
      </c>
      <c r="G5" s="3">
        <v>2.328578611993212</v>
      </c>
      <c r="H5" s="3">
        <v>2.617475074337348</v>
      </c>
      <c r="I5" s="3">
        <v>2.993999590178828</v>
      </c>
      <c r="J5" s="3">
        <v>3.281870479316702</v>
      </c>
      <c r="K5" s="3">
        <v>3.575021345165775</v>
      </c>
      <c r="L5" s="3">
        <v>3.972577598417257</v>
      </c>
      <c r="M5" s="3">
        <v>4.598586811401892</v>
      </c>
    </row>
    <row r="6" spans="1:13">
      <c r="A6" t="s">
        <v>64</v>
      </c>
      <c r="B6" s="4">
        <v>49</v>
      </c>
      <c r="C6" s="3">
        <v>-0.03637560306419724</v>
      </c>
      <c r="D6" s="3">
        <v>1.70744069803804</v>
      </c>
      <c r="E6" s="3">
        <v>0.4441878215562363</v>
      </c>
      <c r="F6" s="3">
        <v>1.871331351869511</v>
      </c>
      <c r="G6" s="3">
        <v>2.392206742724889</v>
      </c>
      <c r="H6" s="3">
        <v>2.749078302177002</v>
      </c>
      <c r="I6" s="3">
        <v>3.214142705946208</v>
      </c>
      <c r="J6" s="3">
        <v>3.569666954419726</v>
      </c>
      <c r="K6" s="3">
        <v>3.931677778204011</v>
      </c>
      <c r="L6" s="3">
        <v>4.422564701710018</v>
      </c>
      <c r="M6" s="3">
        <v>5.195415654858648</v>
      </c>
    </row>
    <row r="7" spans="1:13">
      <c r="A7" t="s">
        <v>65</v>
      </c>
      <c r="B7" s="4">
        <v>47</v>
      </c>
      <c r="C7" s="3">
        <v>-0.02759134421044334</v>
      </c>
      <c r="D7" s="3">
        <v>1.765005860773103</v>
      </c>
      <c r="E7" s="3">
        <v>0.5080005771431069</v>
      </c>
      <c r="F7" s="3">
        <v>1.952139242239062</v>
      </c>
      <c r="G7" s="3">
        <v>2.542963228869679</v>
      </c>
      <c r="H7" s="3">
        <v>2.944430498242141</v>
      </c>
      <c r="I7" s="3">
        <v>3.463717987401859</v>
      </c>
      <c r="J7" s="3">
        <v>3.857828266216001</v>
      </c>
      <c r="K7" s="3">
        <v>4.256666344876913</v>
      </c>
      <c r="L7" s="3">
        <v>4.793657961519253</v>
      </c>
      <c r="M7" s="3">
        <v>5.630551176808181</v>
      </c>
    </row>
    <row r="8" spans="1:13">
      <c r="A8" t="s">
        <v>66</v>
      </c>
      <c r="B8" s="4">
        <v>61</v>
      </c>
      <c r="C8" s="3">
        <v>0.1279126698591886</v>
      </c>
      <c r="D8" s="3">
        <v>1.950102411616732</v>
      </c>
      <c r="E8" s="3">
        <v>0.6255513691072099</v>
      </c>
      <c r="F8" s="3">
        <v>2.174083741807807</v>
      </c>
      <c r="G8" s="3">
        <v>2.80387186595508</v>
      </c>
      <c r="H8" s="3">
        <v>3.173334266396929</v>
      </c>
      <c r="I8" s="3">
        <v>3.592191359051887</v>
      </c>
      <c r="J8" s="3">
        <v>3.871698321702645</v>
      </c>
      <c r="K8" s="3">
        <v>4.125351741553386</v>
      </c>
      <c r="L8" s="3">
        <v>4.426578367367187</v>
      </c>
      <c r="M8" s="3">
        <v>4.819219903786168</v>
      </c>
    </row>
    <row r="9" spans="1:13">
      <c r="A9" t="s">
        <v>67</v>
      </c>
      <c r="B9" s="4">
        <v>74</v>
      </c>
      <c r="C9" s="3">
        <v>0.1242604733877629</v>
      </c>
      <c r="D9" s="3">
        <v>2.91399083849232</v>
      </c>
      <c r="E9" s="3">
        <v>1.030347593889203</v>
      </c>
      <c r="F9" s="3">
        <v>3.283156273743545</v>
      </c>
      <c r="G9" s="3">
        <v>4.323972523476538</v>
      </c>
      <c r="H9" s="3">
        <v>4.936683811233533</v>
      </c>
      <c r="I9" s="3">
        <v>5.633459527933764</v>
      </c>
      <c r="J9" s="3">
        <v>6.099835643166124</v>
      </c>
      <c r="K9" s="3">
        <v>6.52415816544136</v>
      </c>
      <c r="L9" s="3">
        <v>7.029546900691718</v>
      </c>
      <c r="M9" s="3">
        <v>7.691062552632905</v>
      </c>
    </row>
    <row r="10" spans="1:13">
      <c r="A10" t="s">
        <v>68</v>
      </c>
      <c r="B10" s="4">
        <v>87</v>
      </c>
      <c r="C10" s="3">
        <v>-0.004221512180198875</v>
      </c>
      <c r="D10" s="3">
        <v>3.926934354580248</v>
      </c>
      <c r="E10" s="3">
        <v>0.8448543249543545</v>
      </c>
      <c r="F10" s="3">
        <v>4.236824055541758</v>
      </c>
      <c r="G10" s="3">
        <v>5.198185683254978</v>
      </c>
      <c r="H10" s="3">
        <v>5.837226399370948</v>
      </c>
      <c r="I10" s="3">
        <v>6.647556328299179</v>
      </c>
      <c r="J10" s="3">
        <v>7.250804480378357</v>
      </c>
      <c r="K10" s="3">
        <v>7.851372474690754</v>
      </c>
      <c r="L10" s="3">
        <v>8.644822993425471</v>
      </c>
      <c r="M10" s="3">
        <v>9.848472359523985</v>
      </c>
    </row>
    <row r="11" spans="1:13">
      <c r="A11" t="s">
        <v>69</v>
      </c>
      <c r="B11" s="4">
        <v>87</v>
      </c>
      <c r="C11" s="3">
        <v>-0.05246430069935895</v>
      </c>
      <c r="D11" s="3">
        <v>4.763892371474544</v>
      </c>
      <c r="E11" s="3">
        <v>0.8453793274681565</v>
      </c>
      <c r="F11" s="3">
        <v>5.076732959931562</v>
      </c>
      <c r="G11" s="3">
        <v>6.083137787744944</v>
      </c>
      <c r="H11" s="3">
        <v>6.783162891822109</v>
      </c>
      <c r="I11" s="3">
        <v>7.707983927284292</v>
      </c>
      <c r="J11" s="3">
        <v>8.424413209643964</v>
      </c>
      <c r="K11" s="3">
        <v>9.162185217741714</v>
      </c>
      <c r="L11" s="3">
        <v>10.17572855035071</v>
      </c>
      <c r="M11" s="3">
        <v>11.80144462603504</v>
      </c>
    </row>
    <row r="12" spans="1:13">
      <c r="A12" t="s">
        <v>70</v>
      </c>
      <c r="B12" s="4">
        <v>87</v>
      </c>
      <c r="C12" s="3">
        <v>0.06460374988835235</v>
      </c>
      <c r="D12" s="3">
        <v>5.728519447685784</v>
      </c>
      <c r="E12" s="3">
        <v>1.127155620925396</v>
      </c>
      <c r="F12" s="3">
        <v>6.136784005520893</v>
      </c>
      <c r="G12" s="3">
        <v>7.339854002406434</v>
      </c>
      <c r="H12" s="3">
        <v>8.089271408606894</v>
      </c>
      <c r="I12" s="3">
        <v>8.985660422560242</v>
      </c>
      <c r="J12" s="3">
        <v>9.616061806019987</v>
      </c>
      <c r="K12" s="3">
        <v>10.21410886053206</v>
      </c>
      <c r="L12" s="3">
        <v>10.96149621296407</v>
      </c>
      <c r="M12" s="3">
        <v>12.00893093709588</v>
      </c>
    </row>
    <row r="13" spans="1:13">
      <c r="A13" t="s">
        <v>71</v>
      </c>
      <c r="B13" s="4">
        <v>87</v>
      </c>
      <c r="C13" s="3">
        <v>0.2416588333733743</v>
      </c>
      <c r="D13" s="3">
        <v>6.720098638417927</v>
      </c>
      <c r="E13" s="3">
        <v>1.200062990476791</v>
      </c>
      <c r="F13" s="3">
        <v>7.141021304841157</v>
      </c>
      <c r="G13" s="3">
        <v>8.229979515254952</v>
      </c>
      <c r="H13" s="3">
        <v>8.803182180226486</v>
      </c>
      <c r="I13" s="3">
        <v>9.393525134882941</v>
      </c>
      <c r="J13" s="3">
        <v>9.751894308191272</v>
      </c>
      <c r="K13" s="3">
        <v>10.0521932355029</v>
      </c>
      <c r="L13" s="3">
        <v>10.37767454886959</v>
      </c>
      <c r="M13" s="3">
        <v>10.75046517200837</v>
      </c>
    </row>
    <row r="14" spans="1:13">
      <c r="A14" t="s">
        <v>72</v>
      </c>
      <c r="B14" s="4">
        <v>87</v>
      </c>
      <c r="C14" s="3">
        <v>0.1293098617949894</v>
      </c>
      <c r="D14" s="3">
        <v>6.445231261508947</v>
      </c>
      <c r="E14" s="3">
        <v>1.011660014558882</v>
      </c>
      <c r="F14" s="3">
        <v>6.80736842910159</v>
      </c>
      <c r="G14" s="3">
        <v>7.824572640597257</v>
      </c>
      <c r="H14" s="3">
        <v>8.420519706299432</v>
      </c>
      <c r="I14" s="3">
        <v>9.095343128907027</v>
      </c>
      <c r="J14" s="3">
        <v>9.545136651010106</v>
      </c>
      <c r="K14" s="3">
        <v>9.952926109968899</v>
      </c>
      <c r="L14" s="3">
        <v>10.43665297312112</v>
      </c>
      <c r="M14" s="3">
        <v>11.06617386225736</v>
      </c>
    </row>
    <row r="15" spans="1:13">
      <c r="A15" t="s">
        <v>73</v>
      </c>
      <c r="B15" s="4">
        <v>87</v>
      </c>
      <c r="C15" s="3">
        <v>0.07308653883350269</v>
      </c>
      <c r="D15" s="3">
        <v>4.974790208526973</v>
      </c>
      <c r="E15" s="3">
        <v>0.7144470270643067</v>
      </c>
      <c r="F15" s="3">
        <v>5.2331682185792</v>
      </c>
      <c r="G15" s="3">
        <v>5.98976791882049</v>
      </c>
      <c r="H15" s="3">
        <v>6.457302469488616</v>
      </c>
      <c r="I15" s="3">
        <v>7.01252198565672</v>
      </c>
      <c r="J15" s="3">
        <v>7.400256618914892</v>
      </c>
      <c r="K15" s="3">
        <v>7.765911053182806</v>
      </c>
      <c r="L15" s="3">
        <v>8.219757874529671</v>
      </c>
      <c r="M15" s="3">
        <v>8.849646315760239</v>
      </c>
    </row>
  </sheetData>
  <conditionalFormatting sqref="B4:B15">
    <cfRule type="top10" dxfId="0" priority="1" rank="1"/>
  </conditionalFormatting>
  <conditionalFormatting sqref="C4:C15">
    <cfRule type="top10" dxfId="0" priority="2" rank="1"/>
  </conditionalFormatting>
  <conditionalFormatting sqref="D4:D15">
    <cfRule type="top10" dxfId="0" priority="3" rank="1"/>
  </conditionalFormatting>
  <conditionalFormatting sqref="E4:E15">
    <cfRule type="top10" dxfId="0" priority="4" rank="1"/>
  </conditionalFormatting>
  <conditionalFormatting sqref="F4:F15">
    <cfRule type="top10" dxfId="0" priority="5" rank="1"/>
  </conditionalFormatting>
  <conditionalFormatting sqref="G4:G15">
    <cfRule type="top10" dxfId="0" priority="6" rank="1"/>
  </conditionalFormatting>
  <conditionalFormatting sqref="H4:H15">
    <cfRule type="top10" dxfId="0" priority="7" rank="1"/>
  </conditionalFormatting>
  <conditionalFormatting sqref="I4:I15">
    <cfRule type="top10" dxfId="0" priority="8" rank="1"/>
  </conditionalFormatting>
  <conditionalFormatting sqref="J4:J15">
    <cfRule type="top10" dxfId="0" priority="9" rank="1"/>
  </conditionalFormatting>
  <conditionalFormatting sqref="K4:K15">
    <cfRule type="top10" dxfId="0" priority="10" rank="1"/>
  </conditionalFormatting>
  <conditionalFormatting sqref="L4:L15">
    <cfRule type="top10" dxfId="0" priority="11" rank="1"/>
  </conditionalFormatting>
  <conditionalFormatting sqref="M4:M15">
    <cfRule type="top10" dxfId="0" priority="12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2" width="17.7109375" style="4" customWidth="1"/>
    <col min="3" max="3" width="23.7109375" style="3" customWidth="1"/>
    <col min="4" max="13" width="20.7109375" style="3" customWidth="1"/>
  </cols>
  <sheetData>
    <row r="1" spans="1:13">
      <c r="A1" s="1" t="s">
        <v>76</v>
      </c>
    </row>
    <row r="2" spans="1:13">
      <c r="A2" s="2" t="s">
        <v>1</v>
      </c>
    </row>
    <row r="3" spans="1:13">
      <c r="A3" t="s">
        <v>74</v>
      </c>
      <c r="B3" s="4" t="s">
        <v>75</v>
      </c>
      <c r="C3" s="3" t="s">
        <v>43</v>
      </c>
      <c r="D3" s="3" t="s">
        <v>44</v>
      </c>
      <c r="E3" s="3" t="s">
        <v>45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</row>
    <row r="4" spans="1:13">
      <c r="A4" t="s">
        <v>62</v>
      </c>
      <c r="B4" s="4">
        <v>87</v>
      </c>
      <c r="C4" s="3">
        <v>-0.007481090750506311</v>
      </c>
      <c r="D4" s="3">
        <v>15.51576945980053</v>
      </c>
      <c r="E4" s="3">
        <v>0.8714098774248893</v>
      </c>
      <c r="F4" s="3">
        <v>15.83559070018369</v>
      </c>
      <c r="G4" s="3">
        <v>16.83019288331852</v>
      </c>
      <c r="H4" s="3">
        <v>17.49336165098072</v>
      </c>
      <c r="I4" s="3">
        <v>18.33661859393529</v>
      </c>
      <c r="J4" s="3">
        <v>18.96607080509891</v>
      </c>
      <c r="K4" s="3">
        <v>19.59415955872932</v>
      </c>
      <c r="L4" s="3">
        <v>20.42616050861557</v>
      </c>
      <c r="M4" s="3">
        <v>21.69304698541116</v>
      </c>
    </row>
    <row r="5" spans="1:13">
      <c r="A5" t="s">
        <v>63</v>
      </c>
      <c r="B5" s="4">
        <v>87</v>
      </c>
      <c r="C5" s="3">
        <v>0.2637746955216139</v>
      </c>
      <c r="D5" s="3">
        <v>12.25408200217978</v>
      </c>
      <c r="E5" s="3">
        <v>1.453103937178757</v>
      </c>
      <c r="F5" s="3">
        <v>12.76172918076716</v>
      </c>
      <c r="G5" s="3">
        <v>14.05413795594636</v>
      </c>
      <c r="H5" s="3">
        <v>14.72018393164532</v>
      </c>
      <c r="I5" s="3">
        <v>15.39348747476078</v>
      </c>
      <c r="J5" s="3">
        <v>15.79474575723397</v>
      </c>
      <c r="K5" s="3">
        <v>16.12581174181796</v>
      </c>
      <c r="L5" s="3">
        <v>16.47833770404999</v>
      </c>
      <c r="M5" s="3">
        <v>16.87213104732912</v>
      </c>
    </row>
    <row r="6" spans="1:13">
      <c r="A6" t="s">
        <v>64</v>
      </c>
      <c r="B6" s="4">
        <v>87</v>
      </c>
      <c r="C6" s="3">
        <v>0.2220681673861196</v>
      </c>
      <c r="D6" s="3">
        <v>10.44781654382796</v>
      </c>
      <c r="E6" s="3">
        <v>1.273572131772111</v>
      </c>
      <c r="F6" s="3">
        <v>10.8961063926434</v>
      </c>
      <c r="G6" s="3">
        <v>12.07251927959588</v>
      </c>
      <c r="H6" s="3">
        <v>12.7034609402893</v>
      </c>
      <c r="I6" s="3">
        <v>13.36408770478393</v>
      </c>
      <c r="J6" s="3">
        <v>13.7717257203733</v>
      </c>
      <c r="K6" s="3">
        <v>14.11803295413054</v>
      </c>
      <c r="L6" s="3">
        <v>14.49932359165384</v>
      </c>
      <c r="M6" s="3">
        <v>14.9458348169088</v>
      </c>
    </row>
    <row r="7" spans="1:13">
      <c r="A7" t="s">
        <v>65</v>
      </c>
      <c r="B7" s="4">
        <v>87</v>
      </c>
      <c r="C7" s="3">
        <v>-0.05544219956692296</v>
      </c>
      <c r="D7" s="3">
        <v>10.75313284374183</v>
      </c>
      <c r="E7" s="3">
        <v>1.261511511344</v>
      </c>
      <c r="F7" s="3">
        <v>11.22022273920871</v>
      </c>
      <c r="G7" s="3">
        <v>12.72622874228968</v>
      </c>
      <c r="H7" s="3">
        <v>13.77669375385116</v>
      </c>
      <c r="I7" s="3">
        <v>15.16801050020103</v>
      </c>
      <c r="J7" s="3">
        <v>16.24846695210322</v>
      </c>
      <c r="K7" s="3">
        <v>17.3634349799587</v>
      </c>
      <c r="L7" s="3">
        <v>18.89886701489221</v>
      </c>
      <c r="M7" s="3">
        <v>21.37019924630346</v>
      </c>
    </row>
    <row r="8" spans="1:13">
      <c r="A8" t="s">
        <v>66</v>
      </c>
      <c r="B8" s="4">
        <v>87</v>
      </c>
      <c r="C8" s="3">
        <v>2.028517624055898</v>
      </c>
      <c r="D8" s="3">
        <v>21.50384339415326</v>
      </c>
      <c r="E8" s="3">
        <v>3.379828039397264</v>
      </c>
      <c r="F8" s="3">
        <v>22.37781345509732</v>
      </c>
      <c r="G8" s="3">
        <v>23.0905108828377</v>
      </c>
      <c r="H8" s="3">
        <v>23.1526539461735</v>
      </c>
      <c r="I8" s="3">
        <v>23.16746551186144</v>
      </c>
      <c r="J8" s="3">
        <v>23.16939157188981</v>
      </c>
      <c r="K8" s="3">
        <v>23.16985239403589</v>
      </c>
      <c r="L8" s="3">
        <v>23.16997713258139</v>
      </c>
      <c r="M8" s="3">
        <v>23.16999863036887</v>
      </c>
    </row>
    <row r="9" spans="1:13">
      <c r="A9" t="s">
        <v>67</v>
      </c>
      <c r="B9" s="4">
        <v>87</v>
      </c>
      <c r="C9" s="3">
        <v>0.03509487067609261</v>
      </c>
      <c r="D9" s="3">
        <v>16.50436662480622</v>
      </c>
      <c r="E9" s="3">
        <v>1.775609289618116</v>
      </c>
      <c r="F9" s="3">
        <v>17.1509828334114</v>
      </c>
      <c r="G9" s="3">
        <v>19.09878946497134</v>
      </c>
      <c r="H9" s="3">
        <v>20.34642701475199</v>
      </c>
      <c r="I9" s="3">
        <v>21.87655412768506</v>
      </c>
      <c r="J9" s="3">
        <v>22.97924188911037</v>
      </c>
      <c r="K9" s="3">
        <v>24.04719545172212</v>
      </c>
      <c r="L9" s="3">
        <v>25.41400628170605</v>
      </c>
      <c r="M9" s="3">
        <v>27.3956040637722</v>
      </c>
    </row>
    <row r="10" spans="1:13">
      <c r="A10" t="s">
        <v>68</v>
      </c>
      <c r="B10" s="4">
        <v>87</v>
      </c>
      <c r="C10" s="3">
        <v>0.08999204869475225</v>
      </c>
      <c r="D10" s="3">
        <v>16.72883388939888</v>
      </c>
      <c r="E10" s="3">
        <v>1.707749789383695</v>
      </c>
      <c r="F10" s="3">
        <v>17.34453649892513</v>
      </c>
      <c r="G10" s="3">
        <v>19.12499859179272</v>
      </c>
      <c r="H10" s="3">
        <v>20.20774982938563</v>
      </c>
      <c r="I10" s="3">
        <v>21.4752876931002</v>
      </c>
      <c r="J10" s="3">
        <v>22.34815405215826</v>
      </c>
      <c r="K10" s="3">
        <v>23.16161804670786</v>
      </c>
      <c r="L10" s="3">
        <v>24.15761208778498</v>
      </c>
      <c r="M10" s="3">
        <v>25.51341210649708</v>
      </c>
    </row>
    <row r="11" spans="1:13">
      <c r="A11" t="s">
        <v>69</v>
      </c>
      <c r="B11" s="4">
        <v>87</v>
      </c>
      <c r="C11" s="3">
        <v>0.05595098860830876</v>
      </c>
      <c r="D11" s="3">
        <v>16.6145088246197</v>
      </c>
      <c r="E11" s="3">
        <v>1.551625008110969</v>
      </c>
      <c r="F11" s="3">
        <v>17.1774080917666</v>
      </c>
      <c r="G11" s="3">
        <v>18.84686979138851</v>
      </c>
      <c r="H11" s="3">
        <v>19.89535564560543</v>
      </c>
      <c r="I11" s="3">
        <v>21.15869642082247</v>
      </c>
      <c r="J11" s="3">
        <v>22.05354994231194</v>
      </c>
      <c r="K11" s="3">
        <v>22.90764029038728</v>
      </c>
      <c r="L11" s="3">
        <v>23.98248728466065</v>
      </c>
      <c r="M11" s="3">
        <v>25.50388354822325</v>
      </c>
    </row>
    <row r="12" spans="1:13">
      <c r="A12" t="s">
        <v>70</v>
      </c>
      <c r="B12" s="4">
        <v>87</v>
      </c>
      <c r="C12" s="3">
        <v>0.1374267176836937</v>
      </c>
      <c r="D12" s="3">
        <v>16.54398841411922</v>
      </c>
      <c r="E12" s="3">
        <v>1.815442195628505</v>
      </c>
      <c r="F12" s="3">
        <v>17.19289204630101</v>
      </c>
      <c r="G12" s="3">
        <v>19.00471842896057</v>
      </c>
      <c r="H12" s="3">
        <v>20.05805574584504</v>
      </c>
      <c r="I12" s="3">
        <v>21.24264891501313</v>
      </c>
      <c r="J12" s="3">
        <v>22.02691865663045</v>
      </c>
      <c r="K12" s="3">
        <v>22.73391562725274</v>
      </c>
      <c r="L12" s="3">
        <v>23.56710708107894</v>
      </c>
      <c r="M12" s="3">
        <v>24.64141966128511</v>
      </c>
    </row>
    <row r="13" spans="1:13">
      <c r="A13" t="s">
        <v>71</v>
      </c>
      <c r="B13" s="4">
        <v>87</v>
      </c>
      <c r="C13" s="3">
        <v>0.2435666674837864</v>
      </c>
      <c r="D13" s="3">
        <v>16.32357301446099</v>
      </c>
      <c r="E13" s="3">
        <v>1.896105264674913</v>
      </c>
      <c r="F13" s="3">
        <v>16.98840380542661</v>
      </c>
      <c r="G13" s="3">
        <v>18.70598735741298</v>
      </c>
      <c r="H13" s="3">
        <v>19.60843569672472</v>
      </c>
      <c r="I13" s="3">
        <v>20.53637689573095</v>
      </c>
      <c r="J13" s="3">
        <v>21.09879040036214</v>
      </c>
      <c r="K13" s="3">
        <v>21.56944043202382</v>
      </c>
      <c r="L13" s="3">
        <v>22.07877862946362</v>
      </c>
      <c r="M13" s="3">
        <v>22.6608918117565</v>
      </c>
    </row>
    <row r="14" spans="1:13">
      <c r="A14" t="s">
        <v>72</v>
      </c>
      <c r="B14" s="4">
        <v>87</v>
      </c>
      <c r="C14" s="3">
        <v>0.1119344726100488</v>
      </c>
      <c r="D14" s="3">
        <v>15.76300800624242</v>
      </c>
      <c r="E14" s="3">
        <v>2.115662540125139</v>
      </c>
      <c r="F14" s="3">
        <v>16.52273504423288</v>
      </c>
      <c r="G14" s="3">
        <v>18.68428216996081</v>
      </c>
      <c r="H14" s="3">
        <v>19.97172147630817</v>
      </c>
      <c r="I14" s="3">
        <v>21.45114522259919</v>
      </c>
      <c r="J14" s="3">
        <v>22.45155446110373</v>
      </c>
      <c r="K14" s="3">
        <v>23.36965314094179</v>
      </c>
      <c r="L14" s="3">
        <v>24.47406073249844</v>
      </c>
      <c r="M14" s="3">
        <v>25.94015584250845</v>
      </c>
    </row>
    <row r="15" spans="1:13">
      <c r="A15" t="s">
        <v>73</v>
      </c>
      <c r="B15" s="4">
        <v>87</v>
      </c>
      <c r="C15" s="3">
        <v>-0.137115239560983</v>
      </c>
      <c r="D15" s="3">
        <v>15.69263335806306</v>
      </c>
      <c r="E15" s="3">
        <v>1.255395686310611</v>
      </c>
      <c r="F15" s="3">
        <v>16.16450974845175</v>
      </c>
      <c r="G15" s="3">
        <v>17.78327289551404</v>
      </c>
      <c r="H15" s="3">
        <v>19.00210317138628</v>
      </c>
      <c r="I15" s="3">
        <v>20.73274785469398</v>
      </c>
      <c r="J15" s="3">
        <v>22.17010567737573</v>
      </c>
      <c r="K15" s="3">
        <v>23.7407422986091</v>
      </c>
      <c r="L15" s="3">
        <v>26.05191539784654</v>
      </c>
      <c r="M15" s="3">
        <v>30.14223407583901</v>
      </c>
    </row>
  </sheetData>
  <conditionalFormatting sqref="B4:B15">
    <cfRule type="top10" dxfId="0" priority="1" rank="1"/>
  </conditionalFormatting>
  <conditionalFormatting sqref="C4:C15">
    <cfRule type="top10" dxfId="0" priority="2" rank="1"/>
  </conditionalFormatting>
  <conditionalFormatting sqref="D4:D15">
    <cfRule type="top10" dxfId="0" priority="3" rank="1"/>
  </conditionalFormatting>
  <conditionalFormatting sqref="E4:E15">
    <cfRule type="top10" dxfId="0" priority="4" rank="1"/>
  </conditionalFormatting>
  <conditionalFormatting sqref="F4:F15">
    <cfRule type="top10" dxfId="0" priority="5" rank="1"/>
  </conditionalFormatting>
  <conditionalFormatting sqref="G4:G15">
    <cfRule type="top10" dxfId="0" priority="6" rank="1"/>
  </conditionalFormatting>
  <conditionalFormatting sqref="H4:H15">
    <cfRule type="top10" dxfId="0" priority="7" rank="1"/>
  </conditionalFormatting>
  <conditionalFormatting sqref="I4:I15">
    <cfRule type="top10" dxfId="0" priority="8" rank="1"/>
  </conditionalFormatting>
  <conditionalFormatting sqref="J4:J15">
    <cfRule type="top10" dxfId="0" priority="9" rank="1"/>
  </conditionalFormatting>
  <conditionalFormatting sqref="K4:K15">
    <cfRule type="top10" dxfId="0" priority="10" rank="1"/>
  </conditionalFormatting>
  <conditionalFormatting sqref="L4:L15">
    <cfRule type="top10" dxfId="0" priority="11" rank="1"/>
  </conditionalFormatting>
  <conditionalFormatting sqref="M4:M15">
    <cfRule type="top10" dxfId="0" priority="12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14" width="10.7109375" style="3" customWidth="1"/>
  </cols>
  <sheetData>
    <row r="1" spans="1:14">
      <c r="A1" s="1" t="s">
        <v>77</v>
      </c>
    </row>
    <row r="2" spans="1:14">
      <c r="A2" s="2" t="s">
        <v>1</v>
      </c>
    </row>
    <row r="3" spans="1:14">
      <c r="A3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86</v>
      </c>
    </row>
    <row r="4" spans="1:14">
      <c r="A4" t="s">
        <v>78</v>
      </c>
      <c r="B4" s="3">
        <v>0.332</v>
      </c>
      <c r="C4" s="3">
        <v>0.059</v>
      </c>
      <c r="D4" s="3">
        <v>0.021</v>
      </c>
      <c r="E4" s="3">
        <v>0.016</v>
      </c>
      <c r="F4" s="3">
        <v>0.022</v>
      </c>
      <c r="G4" s="3">
        <v>0.027</v>
      </c>
      <c r="H4" s="3">
        <v>0.102</v>
      </c>
      <c r="I4" s="3">
        <v>0.378</v>
      </c>
      <c r="J4" s="3">
        <v>1.416</v>
      </c>
      <c r="K4" s="3">
        <v>6.096</v>
      </c>
      <c r="L4" s="3">
        <v>11.957</v>
      </c>
      <c r="M4" s="3">
        <v>6.644</v>
      </c>
      <c r="N4" s="3">
        <v>27.071</v>
      </c>
    </row>
    <row r="5" spans="1:14">
      <c r="A5" t="s">
        <v>79</v>
      </c>
      <c r="B5" s="3">
        <v>0.8139999999999999</v>
      </c>
      <c r="C5" s="3">
        <v>0.075</v>
      </c>
      <c r="D5" s="3">
        <v>0.039</v>
      </c>
      <c r="E5" s="3">
        <v>0.031</v>
      </c>
      <c r="F5" s="3">
        <v>0.055</v>
      </c>
      <c r="G5" s="3">
        <v>0.163</v>
      </c>
      <c r="H5" s="3">
        <v>0.522</v>
      </c>
      <c r="I5" s="3">
        <v>1.396</v>
      </c>
      <c r="J5" s="3">
        <v>3.425</v>
      </c>
      <c r="K5" s="3">
        <v>11.553</v>
      </c>
      <c r="L5" s="3">
        <v>19.559</v>
      </c>
      <c r="M5" s="3">
        <v>16.008</v>
      </c>
      <c r="N5" s="3">
        <v>53.64</v>
      </c>
    </row>
    <row r="6" spans="1:14">
      <c r="A6" t="s">
        <v>80</v>
      </c>
      <c r="B6" s="3">
        <v>0.14</v>
      </c>
      <c r="C6" s="3">
        <v>0.001</v>
      </c>
      <c r="D6" s="3">
        <v>0.001</v>
      </c>
      <c r="E6" s="3">
        <v>0.002</v>
      </c>
      <c r="F6" s="3">
        <v>0.004</v>
      </c>
      <c r="G6" s="3">
        <v>0.062</v>
      </c>
      <c r="H6" s="3">
        <v>0.23</v>
      </c>
      <c r="I6" s="3">
        <v>0.644</v>
      </c>
      <c r="J6" s="3">
        <v>1.648</v>
      </c>
      <c r="K6" s="3">
        <v>4.56</v>
      </c>
      <c r="L6" s="3">
        <v>5.588</v>
      </c>
      <c r="M6" s="3">
        <v>2.579</v>
      </c>
      <c r="N6" s="3">
        <v>15.458</v>
      </c>
    </row>
    <row r="7" spans="1:14">
      <c r="A7" t="s">
        <v>81</v>
      </c>
      <c r="B7" s="3">
        <v>0.001</v>
      </c>
      <c r="C7" s="3">
        <v>0</v>
      </c>
      <c r="D7" s="3">
        <v>0</v>
      </c>
      <c r="E7" s="3">
        <v>0</v>
      </c>
      <c r="F7" s="3">
        <v>0</v>
      </c>
      <c r="G7" s="3">
        <v>0.011</v>
      </c>
      <c r="H7" s="3">
        <v>0.025</v>
      </c>
      <c r="I7" s="3">
        <v>0.112</v>
      </c>
      <c r="J7" s="3">
        <v>0.418</v>
      </c>
      <c r="K7" s="3">
        <v>1.155</v>
      </c>
      <c r="L7" s="3">
        <v>1.21</v>
      </c>
      <c r="M7" s="3">
        <v>0.222</v>
      </c>
      <c r="N7" s="3">
        <v>3.154</v>
      </c>
    </row>
    <row r="8" spans="1:14">
      <c r="A8" t="s">
        <v>82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0.001</v>
      </c>
      <c r="I8" s="3">
        <v>0.018</v>
      </c>
      <c r="J8" s="3">
        <v>0.063</v>
      </c>
      <c r="K8" s="3">
        <v>0.233</v>
      </c>
      <c r="L8" s="3">
        <v>0.245</v>
      </c>
      <c r="M8" s="3">
        <v>0.014</v>
      </c>
      <c r="N8" s="3">
        <v>0.574</v>
      </c>
    </row>
    <row r="9" spans="1:14">
      <c r="A9" t="s">
        <v>83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0.001</v>
      </c>
      <c r="J9" s="3">
        <v>0.012</v>
      </c>
      <c r="K9" s="3">
        <v>0.039</v>
      </c>
      <c r="L9" s="3">
        <v>0.038</v>
      </c>
      <c r="M9" s="3">
        <v>0.001</v>
      </c>
      <c r="N9" s="3">
        <v>0.092</v>
      </c>
    </row>
    <row r="10" spans="1:14">
      <c r="A10" t="s">
        <v>84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0.003</v>
      </c>
      <c r="K10" s="3">
        <v>0.004</v>
      </c>
      <c r="L10" s="3">
        <v>0.003</v>
      </c>
      <c r="M10" s="3">
        <v>0</v>
      </c>
      <c r="N10" s="3">
        <v>0.01</v>
      </c>
    </row>
    <row r="11" spans="1:14">
      <c r="A11" t="s">
        <v>85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0.001</v>
      </c>
    </row>
    <row r="12" spans="1:14">
      <c r="A12" t="s">
        <v>86</v>
      </c>
      <c r="B12" s="3">
        <v>1.287</v>
      </c>
      <c r="C12" s="3">
        <v>0.134</v>
      </c>
      <c r="D12" s="3">
        <v>0.061</v>
      </c>
      <c r="E12" s="3">
        <v>0.049</v>
      </c>
      <c r="F12" s="3">
        <v>0.081</v>
      </c>
      <c r="G12" s="3">
        <v>0.263</v>
      </c>
      <c r="H12" s="3">
        <v>0.88</v>
      </c>
      <c r="I12" s="3">
        <v>2.55</v>
      </c>
      <c r="J12" s="3">
        <v>6.986</v>
      </c>
      <c r="K12" s="3">
        <v>23.641</v>
      </c>
      <c r="L12" s="3">
        <v>38.6</v>
      </c>
      <c r="M12" s="3">
        <v>25.467</v>
      </c>
      <c r="N12" s="3">
        <v>100</v>
      </c>
    </row>
  </sheetData>
  <conditionalFormatting sqref="B4:B12">
    <cfRule type="top10" dxfId="0" priority="1" rank="1"/>
  </conditionalFormatting>
  <conditionalFormatting sqref="C4:C12">
    <cfRule type="top10" dxfId="0" priority="2" rank="1"/>
  </conditionalFormatting>
  <conditionalFormatting sqref="D4:D12">
    <cfRule type="top10" dxfId="0" priority="3" rank="1"/>
  </conditionalFormatting>
  <conditionalFormatting sqref="E4:E12">
    <cfRule type="top10" dxfId="0" priority="4" rank="1"/>
  </conditionalFormatting>
  <conditionalFormatting sqref="F4:F12">
    <cfRule type="top10" dxfId="0" priority="5" rank="1"/>
  </conditionalFormatting>
  <conditionalFormatting sqref="G4:G12">
    <cfRule type="top10" dxfId="0" priority="6" rank="1"/>
  </conditionalFormatting>
  <conditionalFormatting sqref="H4:H12">
    <cfRule type="top10" dxfId="0" priority="7" rank="1"/>
  </conditionalFormatting>
  <conditionalFormatting sqref="I4:I12">
    <cfRule type="top10" dxfId="0" priority="8" rank="1"/>
  </conditionalFormatting>
  <conditionalFormatting sqref="J4:J12">
    <cfRule type="top10" dxfId="0" priority="9" rank="1"/>
  </conditionalFormatting>
  <conditionalFormatting sqref="K4:K12">
    <cfRule type="top10" dxfId="0" priority="10" rank="1"/>
  </conditionalFormatting>
  <conditionalFormatting sqref="L4:L12">
    <cfRule type="top10" dxfId="0" priority="11" rank="1"/>
  </conditionalFormatting>
  <conditionalFormatting sqref="M4:M12">
    <cfRule type="top10" dxfId="0" priority="12" rank="1"/>
  </conditionalFormatting>
  <conditionalFormatting sqref="N4:N12">
    <cfRule type="top10" dxfId="0" priority="13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12" width="10.7109375" style="3" customWidth="1"/>
  </cols>
  <sheetData>
    <row r="1" spans="1:12">
      <c r="A1" s="1" t="s">
        <v>92</v>
      </c>
    </row>
    <row r="2" spans="1:12">
      <c r="A2" s="2" t="s">
        <v>1</v>
      </c>
    </row>
    <row r="3" spans="1:12">
      <c r="A3" t="s">
        <v>87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93</v>
      </c>
      <c r="I3" s="3" t="s">
        <v>94</v>
      </c>
      <c r="J3" s="3" t="s">
        <v>95</v>
      </c>
      <c r="K3" s="3" t="s">
        <v>96</v>
      </c>
      <c r="L3" s="3" t="s">
        <v>86</v>
      </c>
    </row>
    <row r="4" spans="1:12">
      <c r="A4" t="s">
        <v>78</v>
      </c>
      <c r="B4" s="3">
        <v>0.024</v>
      </c>
      <c r="C4" s="3">
        <v>3.693</v>
      </c>
      <c r="D4" s="3">
        <v>10.788</v>
      </c>
      <c r="E4" s="3">
        <v>8.419</v>
      </c>
      <c r="F4" s="3">
        <v>3.38</v>
      </c>
      <c r="G4" s="3">
        <v>0.7</v>
      </c>
      <c r="H4" s="3">
        <v>0.064</v>
      </c>
      <c r="I4" s="3">
        <v>0.004</v>
      </c>
      <c r="J4" s="3">
        <v>0</v>
      </c>
      <c r="K4" s="3">
        <v>0</v>
      </c>
      <c r="L4" s="3">
        <v>27.071</v>
      </c>
    </row>
    <row r="5" spans="1:12">
      <c r="A5" t="s">
        <v>79</v>
      </c>
      <c r="B5" s="3">
        <v>0</v>
      </c>
      <c r="C5" s="3">
        <v>2.429</v>
      </c>
      <c r="D5" s="3">
        <v>13.673</v>
      </c>
      <c r="E5" s="3">
        <v>14.169</v>
      </c>
      <c r="F5" s="3">
        <v>13.266</v>
      </c>
      <c r="G5" s="3">
        <v>7.737</v>
      </c>
      <c r="H5" s="3">
        <v>2.101</v>
      </c>
      <c r="I5" s="3">
        <v>0.249</v>
      </c>
      <c r="J5" s="3">
        <v>0.016</v>
      </c>
      <c r="K5" s="3">
        <v>0</v>
      </c>
      <c r="L5" s="3">
        <v>53.64</v>
      </c>
    </row>
    <row r="6" spans="1:12">
      <c r="A6" t="s">
        <v>80</v>
      </c>
      <c r="B6" s="3">
        <v>0</v>
      </c>
      <c r="C6" s="3">
        <v>0</v>
      </c>
      <c r="D6" s="3">
        <v>0.6830000000000001</v>
      </c>
      <c r="E6" s="3">
        <v>2.998</v>
      </c>
      <c r="F6" s="3">
        <v>4.454</v>
      </c>
      <c r="G6" s="3">
        <v>4.247</v>
      </c>
      <c r="H6" s="3">
        <v>2.364</v>
      </c>
      <c r="I6" s="3">
        <v>0.652</v>
      </c>
      <c r="J6" s="3">
        <v>0.059</v>
      </c>
      <c r="K6" s="3">
        <v>0.003</v>
      </c>
      <c r="L6" s="3">
        <v>15.458</v>
      </c>
    </row>
    <row r="7" spans="1:12">
      <c r="A7" t="s">
        <v>81</v>
      </c>
      <c r="B7" s="3">
        <v>0</v>
      </c>
      <c r="C7" s="3">
        <v>0</v>
      </c>
      <c r="D7" s="3">
        <v>0</v>
      </c>
      <c r="E7" s="3">
        <v>0.115</v>
      </c>
      <c r="F7" s="3">
        <v>0.711</v>
      </c>
      <c r="G7" s="3">
        <v>1.115</v>
      </c>
      <c r="H7" s="3">
        <v>0.774</v>
      </c>
      <c r="I7" s="3">
        <v>0.369</v>
      </c>
      <c r="J7" s="3">
        <v>0.067</v>
      </c>
      <c r="K7" s="3">
        <v>0.004</v>
      </c>
      <c r="L7" s="3">
        <v>3.154</v>
      </c>
    </row>
    <row r="8" spans="1:12">
      <c r="A8" t="s">
        <v>82</v>
      </c>
      <c r="B8" s="3">
        <v>0</v>
      </c>
      <c r="C8" s="3">
        <v>0</v>
      </c>
      <c r="D8" s="3">
        <v>0</v>
      </c>
      <c r="E8" s="3">
        <v>0</v>
      </c>
      <c r="F8" s="3">
        <v>0.038</v>
      </c>
      <c r="G8" s="3">
        <v>0.198</v>
      </c>
      <c r="H8" s="3">
        <v>0.212</v>
      </c>
      <c r="I8" s="3">
        <v>0.096</v>
      </c>
      <c r="J8" s="3">
        <v>0.027</v>
      </c>
      <c r="K8" s="3">
        <v>0.003</v>
      </c>
      <c r="L8" s="3">
        <v>0.574</v>
      </c>
    </row>
    <row r="9" spans="1:12">
      <c r="A9" t="s">
        <v>83</v>
      </c>
      <c r="B9" s="3">
        <v>0</v>
      </c>
      <c r="C9" s="3">
        <v>0</v>
      </c>
      <c r="D9" s="3">
        <v>0</v>
      </c>
      <c r="E9" s="3">
        <v>0</v>
      </c>
      <c r="F9" s="3">
        <v>0.001</v>
      </c>
      <c r="G9" s="3">
        <v>0.017</v>
      </c>
      <c r="H9" s="3">
        <v>0.044</v>
      </c>
      <c r="I9" s="3">
        <v>0.025</v>
      </c>
      <c r="J9" s="3">
        <v>0.005</v>
      </c>
      <c r="K9" s="3">
        <v>0</v>
      </c>
      <c r="L9" s="3">
        <v>0.092</v>
      </c>
    </row>
    <row r="10" spans="1:12">
      <c r="A10" t="s">
        <v>84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0.001</v>
      </c>
      <c r="H10" s="3">
        <v>0.005</v>
      </c>
      <c r="I10" s="3">
        <v>0.004</v>
      </c>
      <c r="J10" s="3">
        <v>0</v>
      </c>
      <c r="K10" s="3">
        <v>0</v>
      </c>
      <c r="L10" s="3">
        <v>0.01</v>
      </c>
    </row>
    <row r="11" spans="1:12">
      <c r="A11" t="s">
        <v>85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0.001</v>
      </c>
      <c r="H11" s="3">
        <v>0</v>
      </c>
      <c r="I11" s="3">
        <v>0</v>
      </c>
      <c r="J11" s="3">
        <v>0</v>
      </c>
      <c r="K11" s="3">
        <v>0</v>
      </c>
      <c r="L11" s="3">
        <v>0.001</v>
      </c>
    </row>
    <row r="12" spans="1:12">
      <c r="A12" t="s">
        <v>86</v>
      </c>
      <c r="B12" s="3">
        <v>0.024</v>
      </c>
      <c r="C12" s="3">
        <v>6.122</v>
      </c>
      <c r="D12" s="3">
        <v>25.144</v>
      </c>
      <c r="E12" s="3">
        <v>25.701</v>
      </c>
      <c r="F12" s="3">
        <v>21.849</v>
      </c>
      <c r="G12" s="3">
        <v>14.014</v>
      </c>
      <c r="H12" s="3">
        <v>5.565</v>
      </c>
      <c r="I12" s="3">
        <v>1.398</v>
      </c>
      <c r="J12" s="3">
        <v>0.174</v>
      </c>
      <c r="K12" s="3">
        <v>0.01</v>
      </c>
      <c r="L12" s="3">
        <v>100</v>
      </c>
    </row>
  </sheetData>
  <conditionalFormatting sqref="B4:B12">
    <cfRule type="top10" dxfId="0" priority="1" rank="1"/>
  </conditionalFormatting>
  <conditionalFormatting sqref="C4:C12">
    <cfRule type="top10" dxfId="0" priority="2" rank="1"/>
  </conditionalFormatting>
  <conditionalFormatting sqref="D4:D12">
    <cfRule type="top10" dxfId="0" priority="3" rank="1"/>
  </conditionalFormatting>
  <conditionalFormatting sqref="E4:E12">
    <cfRule type="top10" dxfId="0" priority="4" rank="1"/>
  </conditionalFormatting>
  <conditionalFormatting sqref="F4:F12">
    <cfRule type="top10" dxfId="0" priority="5" rank="1"/>
  </conditionalFormatting>
  <conditionalFormatting sqref="G4:G12">
    <cfRule type="top10" dxfId="0" priority="6" rank="1"/>
  </conditionalFormatting>
  <conditionalFormatting sqref="H4:H12">
    <cfRule type="top10" dxfId="0" priority="7" rank="1"/>
  </conditionalFormatting>
  <conditionalFormatting sqref="I4:I12">
    <cfRule type="top10" dxfId="0" priority="8" rank="1"/>
  </conditionalFormatting>
  <conditionalFormatting sqref="J4:J12">
    <cfRule type="top10" dxfId="0" priority="9" rank="1"/>
  </conditionalFormatting>
  <conditionalFormatting sqref="K4:K12">
    <cfRule type="top10" dxfId="0" priority="10" rank="1"/>
  </conditionalFormatting>
  <conditionalFormatting sqref="L4:L12">
    <cfRule type="top10" dxfId="0" priority="11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5.7109375" customWidth="1"/>
    <col min="2" max="14" width="10.7109375" style="3" customWidth="1"/>
  </cols>
  <sheetData>
    <row r="1" spans="1:14">
      <c r="A1" s="1" t="s">
        <v>97</v>
      </c>
    </row>
    <row r="2" spans="1:14">
      <c r="A2" s="2" t="s">
        <v>1</v>
      </c>
    </row>
    <row r="3" spans="1:14">
      <c r="A3" t="s">
        <v>108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86</v>
      </c>
    </row>
    <row r="4" spans="1:14">
      <c r="A4" t="s">
        <v>98</v>
      </c>
      <c r="B4" s="3">
        <v>1.254</v>
      </c>
      <c r="C4" s="3">
        <v>1.015</v>
      </c>
      <c r="D4" s="3">
        <v>0.841</v>
      </c>
      <c r="E4" s="3">
        <v>0.757</v>
      </c>
      <c r="F4" s="3">
        <v>0.746</v>
      </c>
      <c r="G4" s="3">
        <v>0.8080000000000001</v>
      </c>
      <c r="H4" s="3">
        <v>0.971</v>
      </c>
      <c r="I4" s="3">
        <v>1.051</v>
      </c>
      <c r="J4" s="3">
        <v>1.151</v>
      </c>
      <c r="K4" s="3">
        <v>1.279</v>
      </c>
      <c r="L4" s="3">
        <v>1.491</v>
      </c>
      <c r="M4" s="3">
        <v>1.551</v>
      </c>
      <c r="N4" s="3">
        <v>12.917</v>
      </c>
    </row>
    <row r="5" spans="1:14">
      <c r="A5" t="s">
        <v>99</v>
      </c>
      <c r="B5" s="3">
        <v>4.282</v>
      </c>
      <c r="C5" s="3">
        <v>2.012</v>
      </c>
      <c r="D5" s="3">
        <v>1.478</v>
      </c>
      <c r="E5" s="3">
        <v>1.292</v>
      </c>
      <c r="F5" s="3">
        <v>1.042</v>
      </c>
      <c r="G5" s="3">
        <v>1.53</v>
      </c>
      <c r="H5" s="3">
        <v>2.174</v>
      </c>
      <c r="I5" s="3">
        <v>2.134</v>
      </c>
      <c r="J5" s="3">
        <v>1.936</v>
      </c>
      <c r="K5" s="3">
        <v>2.039</v>
      </c>
      <c r="L5" s="3">
        <v>3.45</v>
      </c>
      <c r="M5" s="3">
        <v>6.471</v>
      </c>
      <c r="N5" s="3">
        <v>29.841</v>
      </c>
    </row>
    <row r="6" spans="1:14">
      <c r="A6" t="s">
        <v>100</v>
      </c>
      <c r="B6" s="3">
        <v>5.464</v>
      </c>
      <c r="C6" s="3">
        <v>1.09</v>
      </c>
      <c r="D6" s="3">
        <v>0.845</v>
      </c>
      <c r="E6" s="3">
        <v>0.789</v>
      </c>
      <c r="F6" s="3">
        <v>0.577</v>
      </c>
      <c r="G6" s="3">
        <v>1.445</v>
      </c>
      <c r="H6" s="3">
        <v>2.38</v>
      </c>
      <c r="I6" s="3">
        <v>2.021</v>
      </c>
      <c r="J6" s="3">
        <v>1.701</v>
      </c>
      <c r="K6" s="3">
        <v>1.491</v>
      </c>
      <c r="L6" s="3">
        <v>2.097</v>
      </c>
      <c r="M6" s="3">
        <v>9.377000000000001</v>
      </c>
      <c r="N6" s="3">
        <v>29.276</v>
      </c>
    </row>
    <row r="7" spans="1:14">
      <c r="A7" t="s">
        <v>101</v>
      </c>
      <c r="B7" s="3">
        <v>5.342</v>
      </c>
      <c r="C7" s="3">
        <v>0.366</v>
      </c>
      <c r="D7" s="3">
        <v>0.182</v>
      </c>
      <c r="E7" s="3">
        <v>0.223</v>
      </c>
      <c r="F7" s="3">
        <v>0.303</v>
      </c>
      <c r="G7" s="3">
        <v>1.138</v>
      </c>
      <c r="H7" s="3">
        <v>1.701</v>
      </c>
      <c r="I7" s="3">
        <v>1.438</v>
      </c>
      <c r="J7" s="3">
        <v>1.097</v>
      </c>
      <c r="K7" s="3">
        <v>0.891</v>
      </c>
      <c r="L7" s="3">
        <v>0.979</v>
      </c>
      <c r="M7" s="3">
        <v>6.604</v>
      </c>
      <c r="N7" s="3">
        <v>20.265</v>
      </c>
    </row>
    <row r="8" spans="1:14">
      <c r="A8" t="s">
        <v>102</v>
      </c>
      <c r="B8" s="3">
        <v>2.163</v>
      </c>
      <c r="C8" s="3">
        <v>0.061</v>
      </c>
      <c r="D8" s="3">
        <v>0.011</v>
      </c>
      <c r="E8" s="3">
        <v>0.013</v>
      </c>
      <c r="F8" s="3">
        <v>0.12</v>
      </c>
      <c r="G8" s="3">
        <v>0.544</v>
      </c>
      <c r="H8" s="3">
        <v>0.63</v>
      </c>
      <c r="I8" s="3">
        <v>0.542</v>
      </c>
      <c r="J8" s="3">
        <v>0.421</v>
      </c>
      <c r="K8" s="3">
        <v>0.337</v>
      </c>
      <c r="L8" s="3">
        <v>0.338</v>
      </c>
      <c r="M8" s="3">
        <v>1.576</v>
      </c>
      <c r="N8" s="3">
        <v>6.756</v>
      </c>
    </row>
    <row r="9" spans="1:14">
      <c r="A9" t="s">
        <v>103</v>
      </c>
      <c r="B9" s="3">
        <v>0.121</v>
      </c>
      <c r="C9" s="3">
        <v>0.001</v>
      </c>
      <c r="D9" s="3">
        <v>0</v>
      </c>
      <c r="E9" s="3">
        <v>0.001</v>
      </c>
      <c r="F9" s="3">
        <v>0.037</v>
      </c>
      <c r="G9" s="3">
        <v>0.131</v>
      </c>
      <c r="H9" s="3">
        <v>0.134</v>
      </c>
      <c r="I9" s="3">
        <v>0.111</v>
      </c>
      <c r="J9" s="3">
        <v>0.089</v>
      </c>
      <c r="K9" s="3">
        <v>0.078</v>
      </c>
      <c r="L9" s="3">
        <v>0.076</v>
      </c>
      <c r="M9" s="3">
        <v>0.081</v>
      </c>
      <c r="N9" s="3">
        <v>0.86</v>
      </c>
    </row>
    <row r="10" spans="1:14">
      <c r="A10" t="s">
        <v>104</v>
      </c>
      <c r="B10" s="3">
        <v>0.001</v>
      </c>
      <c r="C10" s="3">
        <v>0</v>
      </c>
      <c r="D10" s="3">
        <v>0</v>
      </c>
      <c r="E10" s="3">
        <v>0</v>
      </c>
      <c r="F10" s="3">
        <v>0.003</v>
      </c>
      <c r="G10" s="3">
        <v>0.01</v>
      </c>
      <c r="H10" s="3">
        <v>0.015</v>
      </c>
      <c r="I10" s="3">
        <v>0.01</v>
      </c>
      <c r="J10" s="3">
        <v>0.011</v>
      </c>
      <c r="K10" s="3">
        <v>0.008999999999999999</v>
      </c>
      <c r="L10" s="3">
        <v>0.014</v>
      </c>
      <c r="M10" s="3">
        <v>0.007</v>
      </c>
      <c r="N10" s="3">
        <v>0.079</v>
      </c>
    </row>
    <row r="11" spans="1:14">
      <c r="A11" t="s">
        <v>105</v>
      </c>
      <c r="B11" s="3">
        <v>0</v>
      </c>
      <c r="C11" s="3">
        <v>0</v>
      </c>
      <c r="D11" s="3">
        <v>0</v>
      </c>
      <c r="E11" s="3">
        <v>0</v>
      </c>
      <c r="F11" s="3">
        <v>0.001</v>
      </c>
      <c r="G11" s="3">
        <v>0</v>
      </c>
      <c r="H11" s="3">
        <v>0</v>
      </c>
      <c r="I11" s="3">
        <v>0</v>
      </c>
      <c r="J11" s="3">
        <v>0.001</v>
      </c>
      <c r="K11" s="3">
        <v>0.001</v>
      </c>
      <c r="L11" s="3">
        <v>0.001</v>
      </c>
      <c r="M11" s="3">
        <v>0.001</v>
      </c>
      <c r="N11" s="3">
        <v>0.004</v>
      </c>
    </row>
    <row r="12" spans="1:14">
      <c r="A12" t="s">
        <v>106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0.001</v>
      </c>
    </row>
    <row r="13" spans="1:14">
      <c r="A13" t="s">
        <v>107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t="s">
        <v>86</v>
      </c>
      <c r="B14" s="3">
        <v>18.628</v>
      </c>
      <c r="C14" s="3">
        <v>4.547</v>
      </c>
      <c r="D14" s="3">
        <v>3.357</v>
      </c>
      <c r="E14" s="3">
        <v>3.076</v>
      </c>
      <c r="F14" s="3">
        <v>2.828</v>
      </c>
      <c r="G14" s="3">
        <v>5.605</v>
      </c>
      <c r="H14" s="3">
        <v>8.006</v>
      </c>
      <c r="I14" s="3">
        <v>7.307</v>
      </c>
      <c r="J14" s="3">
        <v>6.405</v>
      </c>
      <c r="K14" s="3">
        <v>6.125</v>
      </c>
      <c r="L14" s="3">
        <v>8.446999999999999</v>
      </c>
      <c r="M14" s="3">
        <v>25.668</v>
      </c>
      <c r="N14" s="3">
        <v>100</v>
      </c>
    </row>
  </sheetData>
  <conditionalFormatting sqref="B4:B14">
    <cfRule type="top10" dxfId="0" priority="1" rank="1"/>
  </conditionalFormatting>
  <conditionalFormatting sqref="C4:C14">
    <cfRule type="top10" dxfId="0" priority="2" rank="1"/>
  </conditionalFormatting>
  <conditionalFormatting sqref="D4:D14">
    <cfRule type="top10" dxfId="0" priority="3" rank="1"/>
  </conditionalFormatting>
  <conditionalFormatting sqref="E4:E14">
    <cfRule type="top10" dxfId="0" priority="4" rank="1"/>
  </conditionalFormatting>
  <conditionalFormatting sqref="F4:F14">
    <cfRule type="top10" dxfId="0" priority="5" rank="1"/>
  </conditionalFormatting>
  <conditionalFormatting sqref="G4:G14">
    <cfRule type="top10" dxfId="0" priority="6" rank="1"/>
  </conditionalFormatting>
  <conditionalFormatting sqref="H4:H14">
    <cfRule type="top10" dxfId="0" priority="7" rank="1"/>
  </conditionalFormatting>
  <conditionalFormatting sqref="I4:I14">
    <cfRule type="top10" dxfId="0" priority="8" rank="1"/>
  </conditionalFormatting>
  <conditionalFormatting sqref="J4:J14">
    <cfRule type="top10" dxfId="0" priority="9" rank="1"/>
  </conditionalFormatting>
  <conditionalFormatting sqref="K4:K14">
    <cfRule type="top10" dxfId="0" priority="10" rank="1"/>
  </conditionalFormatting>
  <conditionalFormatting sqref="L4:L14">
    <cfRule type="top10" dxfId="0" priority="11" rank="1"/>
  </conditionalFormatting>
  <conditionalFormatting sqref="M4:M14">
    <cfRule type="top10" dxfId="0" priority="12" rank="1"/>
  </conditionalFormatting>
  <conditionalFormatting sqref="N4:N14">
    <cfRule type="top10" dxfId="0" priority="13" rank="1"/>
  </conditionalFormatting>
  <pageMargins left="0.3" right="0.3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Descriptive Statistics</vt:lpstr>
      <vt:lpstr>GEV SWH</vt:lpstr>
      <vt:lpstr>GEV Wind</vt:lpstr>
      <vt:lpstr>SWH Sector GEV</vt:lpstr>
      <vt:lpstr>Wind Sector GEV</vt:lpstr>
      <vt:lpstr>Joint SWH MWD</vt:lpstr>
      <vt:lpstr>Joint SWH MWP</vt:lpstr>
      <vt:lpstr>Joint Wind DWI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2026-05-15T14:21:10Z</dcterms:created>
  <dcterms:modified xsi:type="dcterms:W3CDTF">2026-05-15T14:21:10Z</dcterms:modified>
</cp:coreProperties>
</file>